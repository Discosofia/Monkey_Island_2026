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e\Documents\GitHub\Monkey_Island_2026\docs\"/>
    </mc:Choice>
  </mc:AlternateContent>
  <xr:revisionPtr revIDLastSave="0" documentId="8_{76E98B75-291B-4FE2-BB42-735176DDC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 Recompensas 30 Días" sheetId="1" r:id="rId1"/>
    <sheet name="Correcciones" sheetId="2" r:id="rId9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0" i="1"/>
  <c r="B18" i="1" l="1"/>
  <c r="B19" i="1"/>
  <c r="D52" i="1"/>
  <c r="E52" i="1" s="1"/>
  <c r="D51" i="1"/>
  <c r="E51" i="1" s="1"/>
  <c r="D50" i="1"/>
  <c r="E50" i="1" s="1"/>
  <c r="D49" i="1"/>
  <c r="E49" i="1" s="1"/>
  <c r="D41" i="1"/>
  <c r="E41" i="1" s="1"/>
  <c r="D47" i="1"/>
  <c r="E47" i="1" s="1"/>
  <c r="D43" i="1"/>
  <c r="E43" i="1" s="1"/>
  <c r="D48" i="1"/>
  <c r="E48" i="1" s="1"/>
  <c r="D46" i="1"/>
  <c r="E46" i="1" s="1"/>
  <c r="D45" i="1"/>
  <c r="E45" i="1" s="1"/>
  <c r="D44" i="1"/>
  <c r="E44" i="1" s="1"/>
  <c r="D23" i="1"/>
  <c r="E23" i="1" s="1"/>
  <c r="D42" i="1"/>
  <c r="E42" i="1" s="1"/>
  <c r="D40" i="1"/>
  <c r="E40" i="1" s="1"/>
  <c r="D39" i="1"/>
  <c r="E39" i="1" s="1"/>
  <c r="D25" i="1"/>
  <c r="E25" i="1" s="1"/>
  <c r="B11" i="1"/>
  <c r="D38" i="1"/>
  <c r="E38" i="1" s="1"/>
  <c r="D37" i="1"/>
  <c r="E37" i="1" s="1"/>
  <c r="D31" i="1"/>
  <c r="E31" i="1" s="1"/>
  <c r="D30" i="1"/>
  <c r="E30" i="1" s="1"/>
  <c r="D36" i="1"/>
  <c r="E36" i="1" s="1"/>
  <c r="D35" i="1"/>
  <c r="E35" i="1" s="1"/>
  <c r="D33" i="1"/>
  <c r="E33" i="1" s="1"/>
  <c r="D29" i="1"/>
  <c r="E29" i="1" s="1"/>
  <c r="D28" i="1"/>
  <c r="E28" i="1" s="1"/>
  <c r="D26" i="1"/>
  <c r="E26" i="1" s="1"/>
  <c r="D24" i="1"/>
  <c r="E24" i="1" s="1"/>
  <c r="D34" i="1"/>
  <c r="E34" i="1" s="1"/>
  <c r="D32" i="1"/>
  <c r="E32" i="1" s="1"/>
  <c r="D27" i="1"/>
  <c r="E27" i="1" s="1"/>
</calcChain>
</file>

<file path=xl/sharedStrings.xml><?xml version="1.0" encoding="utf-8"?>
<sst xmlns="http://schemas.openxmlformats.org/spreadsheetml/2006/main" count="154" uniqueCount="96">
  <si>
    <t>Modelo de Economía &amp; Pase de Batalla (30 Días) | v1.0</t>
  </si>
  <si>
    <t>SISTEMA DE RECOMPENSAS Y PACING - PLANIFICACIÓN DE 30 DÍAS</t>
  </si>
  <si>
    <t>1. PARÁMETROS CONFIGURABLES DE RETENCIÓN (INPUTS)</t>
  </si>
  <si>
    <t>Duración del Ciclo / Temporada (Días)</t>
  </si>
  <si>
    <t>días</t>
  </si>
  <si>
    <t>Periodo estándar de retención estacional</t>
  </si>
  <si>
    <t>Niveles Totales del Pase de Batalla</t>
  </si>
  <si>
    <t>niveles</t>
  </si>
  <si>
    <t>Progresión de 1 nivel / día promedio</t>
  </si>
  <si>
    <t>Experiencia (XP) Requerida por Nivel</t>
  </si>
  <si>
    <t>XP</t>
  </si>
  <si>
    <t>XP constante para ritmo fluido</t>
  </si>
  <si>
    <t>XP Diaria Ganada por Misiones (3 misiones)</t>
  </si>
  <si>
    <t>XP/día</t>
  </si>
  <si>
    <t>200 XP por misión completada</t>
  </si>
  <si>
    <t>XP Diaria Ganada por Bucle Principal (Core)</t>
  </si>
  <si>
    <t>Partidas, sobrevivencia y crafteo</t>
  </si>
  <si>
    <t>XP Total Ganada por Día (Misiones + Core)</t>
  </si>
  <si>
    <t>Suma de fuentes diarias de XP</t>
  </si>
  <si>
    <t>Días Estimados para Completar Pase</t>
  </si>
  <si>
    <t>Tiempo estimado para jugador activo</t>
  </si>
  <si>
    <t>2. RESUMEN DE RECOMPENSAS EN UN PERIODO DE 30 DÍAS</t>
  </si>
  <si>
    <t>Fuente de Recompensa</t>
  </si>
  <si>
    <t>Recompensas / Mes</t>
  </si>
  <si>
    <t>Frecuencia</t>
  </si>
  <si>
    <t>Tipología Dominante</t>
  </si>
  <si>
    <t>Login Diario (Calendario 7 Días Rotativo)</t>
  </si>
  <si>
    <t>Diaria (1/día)</t>
  </si>
  <si>
    <t>Economía (Ámbar) / Consumibles</t>
  </si>
  <si>
    <t>Pase de Batalla Gratuito (Pista Free)</t>
  </si>
  <si>
    <t>Intercalada (~1 c/2 días)</t>
  </si>
  <si>
    <t>Recursos / Títulos / Cosmético Básico</t>
  </si>
  <si>
    <t>Pase de Batalla Premium (Pista Paid)</t>
  </si>
  <si>
    <t>Diaria (1 por nivel)</t>
  </si>
  <si>
    <t>Cosméticos Exclusivos / Emotes / Skins</t>
  </si>
  <si>
    <t>TOTAL RECOMPENSAS JUGADOR GRATUITO (F2P)</t>
  </si>
  <si>
    <t>TOTAL RECOMPENSAS JUGADOR PREMIUM (PAID)</t>
  </si>
  <si>
    <t>3. CRONOGRAMA Y DISTRIBUCIÓN DÍA A DÍA (DÍA 1 AL DÍA 30)</t>
  </si>
  <si>
    <t>Día</t>
  </si>
  <si>
    <t>Login Diario (Recurso)</t>
  </si>
  <si>
    <t>Cant. / Valor</t>
  </si>
  <si>
    <t>XP Acumulada</t>
  </si>
  <si>
    <t>Nivel Pase</t>
  </si>
  <si>
    <t>Pase Gratuito (Free)</t>
  </si>
  <si>
    <t>Pase Premium (Paid)</t>
  </si>
  <si>
    <t>Categoría Recompensa</t>
  </si>
  <si>
    <t>Ámbar</t>
  </si>
  <si>
    <t>Skin Personaje: Simio Cazador</t>
  </si>
  <si>
    <t>Economía / Cosmético</t>
  </si>
  <si>
    <t>Acelerador Nido 15m</t>
  </si>
  <si>
    <t>100 Ámbar</t>
  </si>
  <si>
    <t>Emote: Grito de Gorila</t>
  </si>
  <si>
    <t>Skin Machete: Hoja de Obsidiana</t>
  </si>
  <si>
    <t>Kit Curativo Inicial</t>
  </si>
  <si>
    <t>Acelerador Nido 30m</t>
  </si>
  <si>
    <t>Efecto Rastro: Fuego de Volcán</t>
  </si>
  <si>
    <t>Mascota Skin: Tití Dorado</t>
  </si>
  <si>
    <t>Título: Explorador de la Isla</t>
  </si>
  <si>
    <t>200 Ámbar Extra</t>
  </si>
  <si>
    <t>Huevo de Mascota Raro</t>
  </si>
  <si>
    <t>Emote: Baile de la Banana</t>
  </si>
  <si>
    <t>Kit de Construcción de Madera</t>
  </si>
  <si>
    <t>Skin Arco: Cazador Silencioso</t>
  </si>
  <si>
    <t>Efecto Rastro: Esporas de Manglar</t>
  </si>
  <si>
    <t>Marco de Diario de Campo (Bronce)</t>
  </si>
  <si>
    <t>Skin Personaje: Mago de las Cuevas</t>
  </si>
  <si>
    <t>Acelerador Nido 2 Horas</t>
  </si>
  <si>
    <t>150 Ámbar</t>
  </si>
  <si>
    <t>Skin Bastón: Cristal de Cueva</t>
  </si>
  <si>
    <t>Emote: Desafío de Pecho</t>
  </si>
  <si>
    <t>Acelerador Nido 1 Hora</t>
  </si>
  <si>
    <t>Mascota Skin: Mandril de Guerra</t>
  </si>
  <si>
    <t>Skin Mochila: Cuero de Gorila</t>
  </si>
  <si>
    <t>Skin de Machete Básico</t>
  </si>
  <si>
    <t>250 Ámbar Extra</t>
  </si>
  <si>
    <t>Efecto Rastro: Rayos de Tormenta</t>
  </si>
  <si>
    <t>200 Ámbar</t>
  </si>
  <si>
    <t>Skin Escudo: Caparazón de Tortuga</t>
  </si>
  <si>
    <t>Emote: Risa de Chimpancé</t>
  </si>
  <si>
    <t>Marco de Diario de Campo (Plata)</t>
  </si>
  <si>
    <t>Skin Personaje: Curandero Primal</t>
  </si>
  <si>
    <t>Acelerador Nido 3 Horas</t>
  </si>
  <si>
    <t>Caja de Suministros Rara</t>
  </si>
  <si>
    <t>Skin Arco: Dragón de Ceniza</t>
  </si>
  <si>
    <t>Efecto Rastro: Magma Ardiente</t>
  </si>
  <si>
    <t>250 Ámbar</t>
  </si>
  <si>
    <t>Mascota Skin: Gorila Albino Mítico</t>
  </si>
  <si>
    <t>300 Ámbar Extra</t>
  </si>
  <si>
    <t>Efecto de Pisada de Hoja</t>
  </si>
  <si>
    <t>Emote: Salto Acrobático</t>
  </si>
  <si>
    <t>Skin Mochila: Tácticas de Rescate</t>
  </si>
  <si>
    <t>300 Ámbar</t>
  </si>
  <si>
    <t>Marco de Diario (Oro Mítico)</t>
  </si>
  <si>
    <t>Efecto Aura: Llama Primal</t>
  </si>
  <si>
    <t>Título Perm.: Superviviente de la Isla</t>
  </si>
  <si>
    <t>Skin Leyenda: Rey de la Isla Primal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</si>
</sst>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0"/>
      <name val="Calibri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  <fill>
      <patternFill patternType="solid">
        <fgColor rgb="FFF9FBFD"/>
        <bgColor rgb="FFF9FBFD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3" fontId="5" fillId="3" borderId="0" xfId="0" applyNumberFormat="1" applyFont="1" applyFill="1"/>
    <xf numFmtId="3" fontId="5" fillId="4" borderId="0" xfId="0" applyNumberFormat="1" applyFont="1" applyFill="1"/>
    <xf numFmtId="0" fontId="3" fillId="5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0" fontId="5" fillId="0" borderId="0" xfId="0" applyFont="1"/>
    <xf numFmtId="0" fontId="5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3" fontId="4" fillId="0" borderId="3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3" fontId="4" fillId="6" borderId="3" xfId="0" applyNumberFormat="1" applyFont="1" applyFill="1" applyBorder="1" applyAlignment="1">
      <alignment horizontal="right"/>
    </xf>
    <xf numFmtId="3" fontId="5" fillId="6" borderId="3" xfId="0" applyNumberFormat="1" applyFont="1" applyFill="1" applyBorder="1" applyAlignment="1">
      <alignment horizontal="center"/>
    </xf>
    <xf numFmtId="0" fontId="3" fillId="2" borderId="0" xfId="0" applyFont="1" applyFill="1"/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9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Comparativa de Recompensas Mensuales: F2P vs Premium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'Modelo Recompensas 30 Días'!$A$18:$A$19</c:f>
              <c:strCache>
                <c:ptCount val="2"/>
                <c:pt idx="0">
                  <c:v>TOTAL RECOMPENSAS JUGADOR GRATUITO (F2P)</c:v>
                </c:pt>
                <c:pt idx="1">
                  <c:v>TOTAL RECOMPENSAS JUGADOR PREMIUM (PAID)</c:v>
                </c:pt>
              </c:strCache>
            </c:strRef>
          </c:cat>
          <c:val>
            <c:numRef>
              <c:f>'Modelo Recompensas 30 Días'!$B$18:$B$19</c:f>
              <c:numCache>
                <c:formatCode>General</c:formatCode>
                <c:ptCount val="2"/>
                <c:pt idx="0">
                  <c:v>45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B-4CD7-A9BB-CB19CE0A3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Perfil de Jugador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Cantidad de Recompensas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pane ySplit="22" topLeftCell="A23" activePane="bottomLeft" state="frozen"/>
      <selection pane="bottomLeft"/>
    </sheetView>
  </sheetViews>
  <sheetFormatPr baseColWidth="10" defaultColWidth="9.140625" defaultRowHeight="15"/>
  <cols>
    <col min="1" max="1" width="8" customWidth="1"/>
    <col min="2" max="2" width="38" customWidth="1"/>
    <col min="3" max="3" width="18" customWidth="1"/>
    <col min="4" max="4" width="22" customWidth="1"/>
    <col min="5" max="5" width="14" customWidth="1"/>
    <col min="6" max="6" width="36" customWidth="1"/>
    <col min="7" max="7" width="38" customWidth="1"/>
    <col min="8" max="8" width="28" customWidth="1"/>
  </cols>
  <sheetData>
    <row r="1" spans="1:8">
      <c r="A1" s="1" t="s">
        <v>0</v>
      </c>
    </row>
    <row r="2" spans="1:8" ht="18.75">
      <c r="A2" s="21" t="s">
        <v>1</v>
      </c>
      <c r="B2" s="19"/>
      <c r="C2" s="19"/>
      <c r="D2" s="19"/>
      <c r="E2" s="19"/>
      <c r="F2" s="19"/>
      <c r="G2" s="19"/>
      <c r="H2" s="19"/>
    </row>
    <row r="4" spans="1:8">
      <c r="A4" s="20" t="s">
        <v>2</v>
      </c>
      <c r="B4" s="19"/>
      <c r="C4" s="19"/>
      <c r="D4" s="19"/>
    </row>
    <row r="5" spans="1:8">
      <c r="A5" s="2" t="s">
        <v>3</v>
      </c>
      <c r="B5" s="3">
        <v>30</v>
      </c>
      <c r="C5" s="1" t="s">
        <v>4</v>
      </c>
      <c r="D5" s="1" t="s">
        <v>5</v>
      </c>
    </row>
    <row r="6" spans="1:8">
      <c r="A6" s="2" t="s">
        <v>6</v>
      </c>
      <c r="B6" s="3">
        <v>30</v>
      </c>
      <c r="C6" s="1" t="s">
        <v>7</v>
      </c>
      <c r="D6" s="1" t="s">
        <v>8</v>
      </c>
    </row>
    <row r="7" spans="1:8">
      <c r="A7" s="2" t="s">
        <v>9</v>
      </c>
      <c r="B7" s="3">
        <v>1000</v>
      </c>
      <c r="C7" s="1" t="s">
        <v>10</v>
      </c>
      <c r="D7" s="1" t="s">
        <v>11</v>
      </c>
    </row>
    <row r="8" spans="1:8">
      <c r="A8" s="2" t="s">
        <v>12</v>
      </c>
      <c r="B8" s="3">
        <v>600</v>
      </c>
      <c r="C8" s="1" t="s">
        <v>13</v>
      </c>
      <c r="D8" s="1" t="s">
        <v>14</v>
      </c>
    </row>
    <row r="9" spans="1:8">
      <c r="A9" s="2" t="s">
        <v>15</v>
      </c>
      <c r="B9" s="3">
        <v>400</v>
      </c>
      <c r="C9" s="1" t="s">
        <v>13</v>
      </c>
      <c r="D9" s="1" t="s">
        <v>16</v>
      </c>
    </row>
    <row r="10" spans="1:8">
      <c r="A10" s="2" t="s">
        <v>17</v>
      </c>
      <c r="B10" s="4">
        <f>B8+B9</f>
        <v>1000</v>
      </c>
      <c r="C10" s="1" t="s">
        <v>13</v>
      </c>
      <c r="D10" s="1" t="s">
        <v>18</v>
      </c>
    </row>
    <row r="11" spans="1:8">
      <c r="A11" s="2" t="s">
        <v>19</v>
      </c>
      <c r="B11" s="4">
        <f>B6*B7/B10</f>
        <v>30</v>
      </c>
      <c r="C11" s="1" t="s">
        <v>4</v>
      </c>
      <c r="D11" s="1" t="s">
        <v>20</v>
      </c>
    </row>
    <row r="13" spans="1:8">
      <c r="A13" s="18" t="s">
        <v>21</v>
      </c>
      <c r="B13" s="19"/>
      <c r="C13" s="19"/>
      <c r="D13" s="19"/>
    </row>
    <row r="14" spans="1:8">
      <c r="A14" s="5" t="s">
        <v>22</v>
      </c>
      <c r="B14" s="5" t="s">
        <v>23</v>
      </c>
      <c r="C14" s="5" t="s">
        <v>24</v>
      </c>
      <c r="D14" s="5" t="s">
        <v>25</v>
      </c>
    </row>
    <row r="15" spans="1:8">
      <c r="A15" s="2" t="s">
        <v>26</v>
      </c>
      <c r="B15" s="6">
        <f>COUNTIF(B22:B51, "&lt;&gt;")</f>
        <v>30</v>
      </c>
      <c r="C15" s="2" t="s">
        <v>27</v>
      </c>
      <c r="D15" s="2" t="s">
        <v>28</v>
      </c>
    </row>
    <row r="16" spans="1:8">
      <c r="A16" s="2" t="s">
        <v>29</v>
      </c>
      <c r="B16" s="6">
        <f>COUNTIF(F22:F51, "&lt;&gt;")</f>
        <v>15</v>
      </c>
      <c r="C16" s="2" t="s">
        <v>30</v>
      </c>
      <c r="D16" s="2" t="s">
        <v>31</v>
      </c>
    </row>
    <row r="17" spans="1:8">
      <c r="A17" s="2" t="s">
        <v>32</v>
      </c>
      <c r="B17" s="6">
        <f>COUNTIF(G22:G51, "&lt;&gt;")</f>
        <v>30</v>
      </c>
      <c r="C17" s="2" t="s">
        <v>33</v>
      </c>
      <c r="D17" s="2" t="s">
        <v>34</v>
      </c>
    </row>
    <row r="18" spans="1:8">
      <c r="A18" s="7" t="s">
        <v>35</v>
      </c>
      <c r="B18" s="8">
        <f>B16+B17</f>
        <v>45</v>
      </c>
    </row>
    <row r="19" spans="1:8">
      <c r="A19" s="7" t="s">
        <v>36</v>
      </c>
      <c r="B19" s="8">
        <f>B16+B17+B18</f>
        <v>90</v>
      </c>
    </row>
    <row r="21" spans="1:8">
      <c r="A21" s="18" t="s">
        <v>37</v>
      </c>
      <c r="B21" s="19"/>
      <c r="C21" s="19"/>
      <c r="D21" s="19"/>
      <c r="E21" s="19"/>
      <c r="F21" s="19"/>
      <c r="G21" s="19"/>
      <c r="H21" s="19"/>
    </row>
    <row r="22" spans="1:8">
      <c r="A22" s="9" t="s">
        <v>38</v>
      </c>
      <c r="B22" s="9" t="s">
        <v>39</v>
      </c>
      <c r="C22" s="9" t="s">
        <v>40</v>
      </c>
      <c r="D22" s="9" t="s">
        <v>41</v>
      </c>
      <c r="E22" s="9" t="s">
        <v>42</v>
      </c>
      <c r="F22" s="9" t="s">
        <v>43</v>
      </c>
      <c r="G22" s="9" t="s">
        <v>44</v>
      </c>
      <c r="H22" s="9" t="s">
        <v>45</v>
      </c>
    </row>
    <row r="23" spans="1:8">
      <c r="A23" s="10">
        <v>1</v>
      </c>
      <c r="B23" s="11" t="s">
        <v>46</v>
      </c>
      <c r="C23" s="12">
        <v>50</v>
      </c>
      <c r="D23" s="12">
        <f t="shared" ref="D23:D52" si="0">A23*$B$10</f>
        <v>1000</v>
      </c>
      <c r="E23" s="13">
        <f t="shared" ref="E23:E52" si="1">INT(D23/$B$7)</f>
        <v>1</v>
      </c>
      <c r="F23" s="11"/>
      <c r="G23" s="11" t="s">
        <v>47</v>
      </c>
      <c r="H23" s="11" t="s">
        <v>48</v>
      </c>
    </row>
    <row r="24" spans="1:8">
      <c r="A24" s="14">
        <v>2</v>
      </c>
      <c r="B24" s="15" t="s">
        <v>49</v>
      </c>
      <c r="C24" s="16">
        <v>1</v>
      </c>
      <c r="D24" s="16">
        <f t="shared" si="0"/>
        <v>2000</v>
      </c>
      <c r="E24" s="17">
        <f t="shared" si="1"/>
        <v>2</v>
      </c>
      <c r="F24" s="15" t="s">
        <v>50</v>
      </c>
      <c r="G24" s="15" t="s">
        <v>51</v>
      </c>
      <c r="H24" s="15" t="s">
        <v>48</v>
      </c>
    </row>
    <row r="25" spans="1:8">
      <c r="A25" s="10">
        <v>3</v>
      </c>
      <c r="B25" s="11" t="s">
        <v>46</v>
      </c>
      <c r="C25" s="12">
        <v>75</v>
      </c>
      <c r="D25" s="12">
        <f t="shared" si="0"/>
        <v>3000</v>
      </c>
      <c r="E25" s="13">
        <f t="shared" si="1"/>
        <v>3</v>
      </c>
      <c r="F25" s="11"/>
      <c r="G25" s="11" t="s">
        <v>52</v>
      </c>
      <c r="H25" s="11" t="s">
        <v>48</v>
      </c>
    </row>
    <row r="26" spans="1:8">
      <c r="A26" s="14">
        <v>4</v>
      </c>
      <c r="B26" s="15" t="s">
        <v>53</v>
      </c>
      <c r="C26" s="16">
        <v>2</v>
      </c>
      <c r="D26" s="16">
        <f t="shared" si="0"/>
        <v>4000</v>
      </c>
      <c r="E26" s="17">
        <f t="shared" si="1"/>
        <v>4</v>
      </c>
      <c r="F26" s="15" t="s">
        <v>54</v>
      </c>
      <c r="G26" s="15" t="s">
        <v>55</v>
      </c>
      <c r="H26" s="15" t="s">
        <v>48</v>
      </c>
    </row>
    <row r="27" spans="1:8">
      <c r="A27" s="10">
        <v>5</v>
      </c>
      <c r="B27" s="11" t="s">
        <v>46</v>
      </c>
      <c r="C27" s="12">
        <v>100</v>
      </c>
      <c r="D27" s="12">
        <f t="shared" si="0"/>
        <v>5000</v>
      </c>
      <c r="E27" s="13">
        <f t="shared" si="1"/>
        <v>5</v>
      </c>
      <c r="F27" s="11"/>
      <c r="G27" s="11" t="s">
        <v>56</v>
      </c>
      <c r="H27" s="11" t="s">
        <v>48</v>
      </c>
    </row>
    <row r="28" spans="1:8">
      <c r="A28" s="14">
        <v>6</v>
      </c>
      <c r="B28" s="15" t="s">
        <v>54</v>
      </c>
      <c r="C28" s="16">
        <v>1</v>
      </c>
      <c r="D28" s="16">
        <f t="shared" si="0"/>
        <v>6000</v>
      </c>
      <c r="E28" s="17">
        <f t="shared" si="1"/>
        <v>6</v>
      </c>
      <c r="F28" s="15" t="s">
        <v>57</v>
      </c>
      <c r="G28" s="15" t="s">
        <v>58</v>
      </c>
      <c r="H28" s="15" t="s">
        <v>48</v>
      </c>
    </row>
    <row r="29" spans="1:8">
      <c r="A29" s="10">
        <v>7</v>
      </c>
      <c r="B29" s="11" t="s">
        <v>59</v>
      </c>
      <c r="C29" s="12">
        <v>1</v>
      </c>
      <c r="D29" s="12">
        <f t="shared" si="0"/>
        <v>7000</v>
      </c>
      <c r="E29" s="13">
        <f t="shared" si="1"/>
        <v>7</v>
      </c>
      <c r="F29" s="11"/>
      <c r="G29" s="11" t="s">
        <v>60</v>
      </c>
      <c r="H29" s="11" t="s">
        <v>48</v>
      </c>
    </row>
    <row r="30" spans="1:8">
      <c r="A30" s="14">
        <v>8</v>
      </c>
      <c r="B30" s="15" t="s">
        <v>46</v>
      </c>
      <c r="C30" s="16">
        <v>50</v>
      </c>
      <c r="D30" s="16">
        <f t="shared" si="0"/>
        <v>8000</v>
      </c>
      <c r="E30" s="17">
        <f t="shared" si="1"/>
        <v>8</v>
      </c>
      <c r="F30" s="15" t="s">
        <v>61</v>
      </c>
      <c r="G30" s="15" t="s">
        <v>62</v>
      </c>
      <c r="H30" s="15" t="s">
        <v>48</v>
      </c>
    </row>
    <row r="31" spans="1:8">
      <c r="A31" s="10">
        <v>9</v>
      </c>
      <c r="B31" s="11" t="s">
        <v>49</v>
      </c>
      <c r="C31" s="12">
        <v>1</v>
      </c>
      <c r="D31" s="12">
        <f t="shared" si="0"/>
        <v>9000</v>
      </c>
      <c r="E31" s="13">
        <f t="shared" si="1"/>
        <v>9</v>
      </c>
      <c r="F31" s="11"/>
      <c r="G31" s="11" t="s">
        <v>63</v>
      </c>
      <c r="H31" s="11" t="s">
        <v>48</v>
      </c>
    </row>
    <row r="32" spans="1:8">
      <c r="A32" s="14">
        <v>10</v>
      </c>
      <c r="B32" s="15" t="s">
        <v>46</v>
      </c>
      <c r="C32" s="16">
        <v>75</v>
      </c>
      <c r="D32" s="16">
        <f t="shared" si="0"/>
        <v>10000</v>
      </c>
      <c r="E32" s="17">
        <f t="shared" si="1"/>
        <v>10</v>
      </c>
      <c r="F32" s="15" t="s">
        <v>64</v>
      </c>
      <c r="G32" s="15" t="s">
        <v>65</v>
      </c>
      <c r="H32" s="15" t="s">
        <v>48</v>
      </c>
    </row>
    <row r="33" spans="1:8">
      <c r="A33" s="10">
        <v>11</v>
      </c>
      <c r="B33" s="11" t="s">
        <v>53</v>
      </c>
      <c r="C33" s="12">
        <v>2</v>
      </c>
      <c r="D33" s="12">
        <f t="shared" si="0"/>
        <v>11000</v>
      </c>
      <c r="E33" s="13">
        <f t="shared" si="1"/>
        <v>11</v>
      </c>
      <c r="F33" s="11"/>
      <c r="G33" s="11" t="s">
        <v>66</v>
      </c>
      <c r="H33" s="11" t="s">
        <v>48</v>
      </c>
    </row>
    <row r="34" spans="1:8">
      <c r="A34" s="14">
        <v>12</v>
      </c>
      <c r="B34" s="15" t="s">
        <v>46</v>
      </c>
      <c r="C34" s="16">
        <v>100</v>
      </c>
      <c r="D34" s="16">
        <f t="shared" si="0"/>
        <v>12000</v>
      </c>
      <c r="E34" s="17">
        <f t="shared" si="1"/>
        <v>12</v>
      </c>
      <c r="F34" s="15" t="s">
        <v>67</v>
      </c>
      <c r="G34" s="15" t="s">
        <v>68</v>
      </c>
      <c r="H34" s="15" t="s">
        <v>48</v>
      </c>
    </row>
    <row r="35" spans="1:8">
      <c r="A35" s="10">
        <v>13</v>
      </c>
      <c r="B35" s="11" t="s">
        <v>54</v>
      </c>
      <c r="C35" s="12">
        <v>1</v>
      </c>
      <c r="D35" s="12">
        <f t="shared" si="0"/>
        <v>13000</v>
      </c>
      <c r="E35" s="13">
        <f t="shared" si="1"/>
        <v>13</v>
      </c>
      <c r="F35" s="11"/>
      <c r="G35" s="11" t="s">
        <v>69</v>
      </c>
      <c r="H35" s="11" t="s">
        <v>48</v>
      </c>
    </row>
    <row r="36" spans="1:8">
      <c r="A36" s="14">
        <v>14</v>
      </c>
      <c r="B36" s="15" t="s">
        <v>59</v>
      </c>
      <c r="C36" s="16">
        <v>1</v>
      </c>
      <c r="D36" s="16">
        <f t="shared" si="0"/>
        <v>14000</v>
      </c>
      <c r="E36" s="17">
        <f t="shared" si="1"/>
        <v>14</v>
      </c>
      <c r="F36" s="15" t="s">
        <v>70</v>
      </c>
      <c r="G36" s="15" t="s">
        <v>71</v>
      </c>
      <c r="H36" s="15" t="s">
        <v>48</v>
      </c>
    </row>
    <row r="37" spans="1:8">
      <c r="A37" s="10">
        <v>15</v>
      </c>
      <c r="B37" s="11" t="s">
        <v>46</v>
      </c>
      <c r="C37" s="12">
        <v>50</v>
      </c>
      <c r="D37" s="12">
        <f t="shared" si="0"/>
        <v>15000</v>
      </c>
      <c r="E37" s="13">
        <f t="shared" si="1"/>
        <v>15</v>
      </c>
      <c r="F37" s="11"/>
      <c r="G37" s="11" t="s">
        <v>72</v>
      </c>
      <c r="H37" s="11" t="s">
        <v>48</v>
      </c>
    </row>
    <row r="38" spans="1:8">
      <c r="A38" s="14">
        <v>16</v>
      </c>
      <c r="B38" s="15" t="s">
        <v>49</v>
      </c>
      <c r="C38" s="16">
        <v>1</v>
      </c>
      <c r="D38" s="16">
        <f t="shared" si="0"/>
        <v>16000</v>
      </c>
      <c r="E38" s="17">
        <f t="shared" si="1"/>
        <v>16</v>
      </c>
      <c r="F38" s="15" t="s">
        <v>73</v>
      </c>
      <c r="G38" s="15" t="s">
        <v>74</v>
      </c>
      <c r="H38" s="15" t="s">
        <v>48</v>
      </c>
    </row>
    <row r="39" spans="1:8">
      <c r="A39" s="10">
        <v>17</v>
      </c>
      <c r="B39" s="11" t="s">
        <v>46</v>
      </c>
      <c r="C39" s="12">
        <v>75</v>
      </c>
      <c r="D39" s="12">
        <f t="shared" si="0"/>
        <v>17000</v>
      </c>
      <c r="E39" s="13">
        <f t="shared" si="1"/>
        <v>17</v>
      </c>
      <c r="F39" s="11"/>
      <c r="G39" s="11" t="s">
        <v>75</v>
      </c>
      <c r="H39" s="11" t="s">
        <v>48</v>
      </c>
    </row>
    <row r="40" spans="1:8">
      <c r="A40" s="14">
        <v>18</v>
      </c>
      <c r="B40" s="15" t="s">
        <v>53</v>
      </c>
      <c r="C40" s="16">
        <v>2</v>
      </c>
      <c r="D40" s="16">
        <f t="shared" si="0"/>
        <v>18000</v>
      </c>
      <c r="E40" s="17">
        <f t="shared" si="1"/>
        <v>18</v>
      </c>
      <c r="F40" s="15" t="s">
        <v>76</v>
      </c>
      <c r="G40" s="15" t="s">
        <v>77</v>
      </c>
      <c r="H40" s="15" t="s">
        <v>48</v>
      </c>
    </row>
    <row r="41" spans="1:8">
      <c r="A41" s="10">
        <v>19</v>
      </c>
      <c r="B41" s="11" t="s">
        <v>46</v>
      </c>
      <c r="C41" s="12">
        <v>100</v>
      </c>
      <c r="D41" s="12">
        <f t="shared" si="0"/>
        <v>19000</v>
      </c>
      <c r="E41" s="13">
        <f t="shared" si="1"/>
        <v>19</v>
      </c>
      <c r="F41" s="11"/>
      <c r="G41" s="11" t="s">
        <v>78</v>
      </c>
      <c r="H41" s="11" t="s">
        <v>48</v>
      </c>
    </row>
    <row r="42" spans="1:8">
      <c r="A42" s="14">
        <v>20</v>
      </c>
      <c r="B42" s="15" t="s">
        <v>54</v>
      </c>
      <c r="C42" s="16">
        <v>1</v>
      </c>
      <c r="D42" s="16">
        <f t="shared" si="0"/>
        <v>20000</v>
      </c>
      <c r="E42" s="17">
        <f t="shared" si="1"/>
        <v>20</v>
      </c>
      <c r="F42" s="15" t="s">
        <v>79</v>
      </c>
      <c r="G42" s="15" t="s">
        <v>80</v>
      </c>
      <c r="H42" s="15" t="s">
        <v>48</v>
      </c>
    </row>
    <row r="43" spans="1:8">
      <c r="A43" s="10">
        <v>21</v>
      </c>
      <c r="B43" s="11" t="s">
        <v>59</v>
      </c>
      <c r="C43" s="12">
        <v>1</v>
      </c>
      <c r="D43" s="12">
        <f t="shared" si="0"/>
        <v>21000</v>
      </c>
      <c r="E43" s="13">
        <f t="shared" si="1"/>
        <v>21</v>
      </c>
      <c r="F43" s="11"/>
      <c r="G43" s="11" t="s">
        <v>81</v>
      </c>
      <c r="H43" s="11" t="s">
        <v>48</v>
      </c>
    </row>
    <row r="44" spans="1:8">
      <c r="A44" s="14">
        <v>22</v>
      </c>
      <c r="B44" s="15" t="s">
        <v>46</v>
      </c>
      <c r="C44" s="16">
        <v>50</v>
      </c>
      <c r="D44" s="16">
        <f t="shared" si="0"/>
        <v>22000</v>
      </c>
      <c r="E44" s="17">
        <f t="shared" si="1"/>
        <v>22</v>
      </c>
      <c r="F44" s="15" t="s">
        <v>82</v>
      </c>
      <c r="G44" s="15" t="s">
        <v>83</v>
      </c>
      <c r="H44" s="15" t="s">
        <v>48</v>
      </c>
    </row>
    <row r="45" spans="1:8">
      <c r="A45" s="10">
        <v>23</v>
      </c>
      <c r="B45" s="11" t="s">
        <v>49</v>
      </c>
      <c r="C45" s="12">
        <v>1</v>
      </c>
      <c r="D45" s="12">
        <f t="shared" si="0"/>
        <v>23000</v>
      </c>
      <c r="E45" s="13">
        <f t="shared" si="1"/>
        <v>23</v>
      </c>
      <c r="F45" s="11"/>
      <c r="G45" s="11" t="s">
        <v>84</v>
      </c>
      <c r="H45" s="11" t="s">
        <v>48</v>
      </c>
    </row>
    <row r="46" spans="1:8">
      <c r="A46" s="14">
        <v>24</v>
      </c>
      <c r="B46" s="15" t="s">
        <v>46</v>
      </c>
      <c r="C46" s="16">
        <v>75</v>
      </c>
      <c r="D46" s="16">
        <f t="shared" si="0"/>
        <v>24000</v>
      </c>
      <c r="E46" s="17">
        <f t="shared" si="1"/>
        <v>24</v>
      </c>
      <c r="F46" s="15" t="s">
        <v>85</v>
      </c>
      <c r="G46" s="15" t="s">
        <v>86</v>
      </c>
      <c r="H46" s="15" t="s">
        <v>48</v>
      </c>
    </row>
    <row r="47" spans="1:8">
      <c r="A47" s="10">
        <v>25</v>
      </c>
      <c r="B47" s="11" t="s">
        <v>53</v>
      </c>
      <c r="C47" s="12">
        <v>2</v>
      </c>
      <c r="D47" s="12">
        <f t="shared" si="0"/>
        <v>25000</v>
      </c>
      <c r="E47" s="13">
        <f t="shared" si="1"/>
        <v>25</v>
      </c>
      <c r="F47" s="11"/>
      <c r="G47" s="11" t="s">
        <v>87</v>
      </c>
      <c r="H47" s="11" t="s">
        <v>48</v>
      </c>
    </row>
    <row r="48" spans="1:8">
      <c r="A48" s="14">
        <v>26</v>
      </c>
      <c r="B48" s="15" t="s">
        <v>46</v>
      </c>
      <c r="C48" s="16">
        <v>100</v>
      </c>
      <c r="D48" s="16">
        <f t="shared" si="0"/>
        <v>26000</v>
      </c>
      <c r="E48" s="17">
        <f t="shared" si="1"/>
        <v>26</v>
      </c>
      <c r="F48" s="15" t="s">
        <v>88</v>
      </c>
      <c r="G48" s="15" t="s">
        <v>89</v>
      </c>
      <c r="H48" s="15" t="s">
        <v>48</v>
      </c>
    </row>
    <row r="49" spans="1:8">
      <c r="A49" s="10">
        <v>27</v>
      </c>
      <c r="B49" s="11" t="s">
        <v>54</v>
      </c>
      <c r="C49" s="12">
        <v>1</v>
      </c>
      <c r="D49" s="12">
        <f t="shared" si="0"/>
        <v>27000</v>
      </c>
      <c r="E49" s="13">
        <f t="shared" si="1"/>
        <v>27</v>
      </c>
      <c r="F49" s="11"/>
      <c r="G49" s="11" t="s">
        <v>90</v>
      </c>
      <c r="H49" s="11" t="s">
        <v>48</v>
      </c>
    </row>
    <row r="50" spans="1:8">
      <c r="A50" s="14">
        <v>28</v>
      </c>
      <c r="B50" s="15" t="s">
        <v>59</v>
      </c>
      <c r="C50" s="16">
        <v>1</v>
      </c>
      <c r="D50" s="16">
        <f t="shared" si="0"/>
        <v>28000</v>
      </c>
      <c r="E50" s="17">
        <f t="shared" si="1"/>
        <v>28</v>
      </c>
      <c r="F50" s="15" t="s">
        <v>91</v>
      </c>
      <c r="G50" s="15" t="s">
        <v>92</v>
      </c>
      <c r="H50" s="15" t="s">
        <v>48</v>
      </c>
    </row>
    <row r="51" spans="1:8">
      <c r="A51" s="10">
        <v>29</v>
      </c>
      <c r="B51" s="11" t="s">
        <v>46</v>
      </c>
      <c r="C51" s="12">
        <v>50</v>
      </c>
      <c r="D51" s="12">
        <f t="shared" si="0"/>
        <v>29000</v>
      </c>
      <c r="E51" s="13">
        <f t="shared" si="1"/>
        <v>29</v>
      </c>
      <c r="F51" s="11"/>
      <c r="G51" s="11" t="s">
        <v>93</v>
      </c>
      <c r="H51" s="11" t="s">
        <v>48</v>
      </c>
    </row>
    <row r="52" spans="1:8">
      <c r="A52" s="14">
        <v>30</v>
      </c>
      <c r="B52" s="15" t="s">
        <v>49</v>
      </c>
      <c r="C52" s="16">
        <v>1</v>
      </c>
      <c r="D52" s="16">
        <f t="shared" si="0"/>
        <v>30000</v>
      </c>
      <c r="E52" s="17">
        <f t="shared" si="1"/>
        <v>30</v>
      </c>
      <c r="F52" s="15" t="s">
        <v>94</v>
      </c>
      <c r="G52" s="15" t="s">
        <v>95</v>
      </c>
      <c r="H52" s="15" t="s">
        <v>48</v>
      </c>
    </row>
  </sheetData>
  <mergeCells count="4">
    <mergeCell ref="A21:H21"/>
    <mergeCell ref="A4:D4"/>
    <mergeCell ref="A2:H2"/>
    <mergeCell ref="A13:D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cols>
    <col min="1" max="1" width="26" customWidth="1"/>
    <col min="2" max="2" width="62" customWidth="1"/>
    <col min="3" max="3" width="62" customWidth="1"/>
    <col min="4" max="4" width="58" customWidth="1"/>
  </cols>
  <sheetData>
    <row r="1">
      <c r="A1" s="21" t="inlineStr">
        <is>
          <t xml:space="preserve">Correcciones del modelo (21-10-2026)</t>
        </is>
      </c>
    </row>
    <row r="2">
      <c r="A2" s="2" t="inlineStr">
        <is>
          <t xml:space="preserve">Lo que cambió al pasar este modelo al juego (docs/GDD.md §14.4). Los números de verdad están en src/shared/Config.luau (Season, Daily, Shop) y src/shared/Data/Seasons.luau.</t>
        </is>
      </c>
    </row>
    <row r="3"/>
    <row r="4">
      <c r="A4" s="20" t="inlineStr">
        <is>
          <t xml:space="preserve">1. HALLAZGOS 7–10</t>
        </is>
      </c>
    </row>
    <row r="5">
      <c r="A5" s="5" t="inlineStr">
        <is>
          <t xml:space="preserve">#</t>
        </is>
      </c>
      <c r="B5" s="5" t="inlineStr">
        <is>
          <t xml:space="preserve">Este modelo decía</t>
        </is>
      </c>
      <c r="C5" s="5" t="inlineStr">
        <is>
          <t xml:space="preserve">En el juego</t>
        </is>
      </c>
      <c r="D5" s="5" t="inlineStr">
        <is>
          <t xml:space="preserve">Por qué</t>
        </is>
      </c>
    </row>
    <row r="6">
      <c r="A6" s="2" t="inlineStr">
        <is>
          <t xml:space="preserve">7</t>
        </is>
      </c>
      <c r="B6" s="2" t="inlineStr">
        <is>
          <t xml:space="preserve">La premium vende aceleradores del nido y Ámbar</t>
        </is>
      </c>
      <c r="C6" s="2" t="inlineStr">
        <is>
          <t xml:space="preserve">Premium 100 % cosmética; el Ámbar y el tiempo de huevo solo en la pista gratis</t>
        </is>
      </c>
      <c r="D6" s="2" t="inlineStr">
        <is>
          <t xml:space="preserve">El Ámbar compra mejoras de vida y daño: venderlo es pagar para ganar</t>
        </is>
      </c>
    </row>
    <row r="7">
      <c r="A7" s="2" t="inlineStr">
        <is>
          <t xml:space="preserve">8</t>
        </is>
      </c>
      <c r="B7" s="2" t="inlineStr">
        <is>
          <t xml:space="preserve">"Superviviente de la Isla" en el nivel 30 gratis</t>
        </is>
      </c>
      <c r="C7" s="2" t="inlineStr">
        <is>
          <t xml:space="preserve">El N30 gratis da el título "Señor del Volcán"</t>
        </is>
      </c>
      <c r="D7" s="2" t="inlineStr">
        <is>
          <t xml:space="preserve">"Superviviente" es solo para quien gana una partida</t>
        </is>
      </c>
    </row>
    <row r="8">
      <c r="A8" s="2" t="inlineStr">
        <is>
          <t xml:space="preserve">9</t>
        </is>
      </c>
      <c r="B8" s="2" t="inlineStr">
        <is>
          <t xml:space="preserve">Skins de Tití, Mandril y Gorila Albino; total premium 90 (suma 75); 1.000 XP al día justos</t>
        </is>
      </c>
      <c r="C8" s="2" t="inlineStr">
        <is>
          <t xml:space="preserve">Skins solo de las 13 mascotas reales (y de familia); 30 premios premium, uno por nivel; se termina con ~20–24 días activos</t>
        </is>
      </c>
      <c r="D8" s="2" t="inlineStr">
        <is>
          <t xml:space="preserve">Esos monos no son mascotas; con la XP justa había que jugar los 30 días</t>
        </is>
      </c>
    </row>
    <row r="9">
      <c r="A9" s="2" t="inlineStr">
        <is>
          <t xml:space="preserve">10</t>
        </is>
      </c>
      <c r="B9" s="2" t="inlineStr">
        <is>
          <t xml:space="preserve">Niveles comprados con sus premios gratis</t>
        </is>
      </c>
      <c r="C9" s="2" t="inlineStr">
        <is>
          <t xml:space="preserve">Los premios no cosméticos solo con nivel ganado jugando</t>
        </is>
      </c>
      <c r="D9" s="2" t="inlineStr">
        <is>
          <t xml:space="preserve">Si no, los niveles de Robux venderían Ámbar y tiempo de huevo</t>
        </is>
      </c>
    </row>
    <row r="10"/>
    <row r="11">
      <c r="A11" s="20" t="inlineStr">
        <is>
          <t xml:space="preserve">2. PARÁMETROS REALES</t>
        </is>
      </c>
    </row>
    <row r="12">
      <c r="A12" s="5" t="inlineStr">
        <is>
          <t xml:space="preserve">Parámetro</t>
        </is>
      </c>
      <c r="B12" s="5" t="inlineStr">
        <is>
          <t xml:space="preserve">Valor</t>
        </is>
      </c>
      <c r="C12" s="5" t="inlineStr">
        <is>
          <t xml:space="preserve">Dónde</t>
        </is>
      </c>
    </row>
    <row r="13">
      <c r="A13" s="2" t="inlineStr">
        <is>
          <t xml:space="preserve">Duración de la temporada</t>
        </is>
      </c>
      <c r="B13" s="2" t="inlineStr">
        <is>
          <t xml:space="preserve">30 días + 7 de descanso</t>
        </is>
      </c>
      <c r="C13" s="2" t="inlineStr">
        <is>
          <t xml:space="preserve">Config.Season.Days / RestDays</t>
        </is>
      </c>
    </row>
    <row r="14">
      <c r="A14" s="2" t="inlineStr">
        <is>
          <t xml:space="preserve">Niveles × XP</t>
        </is>
      </c>
      <c r="B14" s="2" t="inlineStr">
        <is>
          <t xml:space="preserve">30 × 1.000 (en bucle: cada 1.500)</t>
        </is>
      </c>
      <c r="C14" s="2" t="inlineStr">
        <is>
          <t xml:space="preserve">Config.Season.Levels / LevelXp / LoopXp</t>
        </is>
      </c>
    </row>
    <row r="15">
      <c r="A15" s="2" t="inlineStr">
        <is>
          <t xml:space="preserve">Última semana</t>
        </is>
      </c>
      <c r="B15" s="2" t="inlineStr">
        <is>
          <t xml:space="preserve">×2 de XP</t>
        </is>
      </c>
      <c r="C15" s="2" t="inlineStr">
        <is>
          <t xml:space="preserve">Config.Season.LastWeekMultiplier</t>
        </is>
      </c>
    </row>
    <row r="16">
      <c r="A16" s="2" t="inlineStr">
        <is>
          <t xml:space="preserve">XP de la Isla</t>
        </is>
      </c>
      <c r="B16" s="2" t="inlineStr">
        <is>
          <t xml:space="preserve">60/día, 150/jefe, 50/huevo, 300/rescate</t>
        </is>
      </c>
      <c r="C16" s="2" t="inlineStr">
        <is>
          <t xml:space="preserve">Config.Season.IslandXp</t>
        </is>
      </c>
    </row>
    <row r="17">
      <c r="A17" s="2" t="inlineStr">
        <is>
          <t xml:space="preserve">XP de Dunas</t>
        </is>
      </c>
      <c r="B17" s="2" t="inlineStr">
        <is>
          <t xml:space="preserve">80 / 40 / 30 + 15 por captura</t>
        </is>
      </c>
      <c r="C17" s="2" t="inlineStr">
        <is>
          <t xml:space="preserve">Config.Season.ArenaXp</t>
        </is>
      </c>
    </row>
    <row r="18">
      <c r="A18" s="2" t="inlineStr">
        <is>
          <t xml:space="preserve">Tope de partidas</t>
        </is>
      </c>
      <c r="B18" s="2" t="inlineStr">
        <is>
          <t xml:space="preserve">1.200 XP al día (misiones fuera)</t>
        </is>
      </c>
      <c r="C18" s="2" t="inlineStr">
        <is>
          <t xml:space="preserve">Config.Season.DailyMatchXpCap</t>
        </is>
      </c>
    </row>
    <row r="19">
      <c r="A19" s="2" t="inlineStr">
        <is>
          <t xml:space="preserve">Misiones diarias</t>
        </is>
      </c>
      <c r="B19" s="2" t="inlineStr">
        <is>
          <t xml:space="preserve">fácil 200 · media 200 · difícil 300 XP</t>
        </is>
      </c>
      <c r="C19" s="2" t="inlineStr">
        <is>
          <t xml:space="preserve">Config.Daily.MissionRewards</t>
        </is>
      </c>
    </row>
    <row r="20">
      <c r="A20" s="2" t="inlineStr">
        <is>
          <t xml:space="preserve">Semanales</t>
        </is>
      </c>
      <c r="B20" s="2" t="inlineStr">
        <is>
          <t xml:space="preserve">5 × 500 XP + 500 por las 5</t>
        </is>
      </c>
      <c r="C20" s="2" t="inlineStr">
        <is>
          <t xml:space="preserve">Config.Daily.MissionRewards / WeeklyBonus</t>
        </is>
      </c>
    </row>
    <row r="21">
      <c r="A21" s="2" t="inlineStr">
        <is>
          <t xml:space="preserve">Amigos</t>
        </is>
      </c>
      <c r="B21" s="2" t="inlineStr">
        <is>
          <t xml:space="preserve">+10 %</t>
        </is>
      </c>
      <c r="C21" s="2" t="inlineStr">
        <is>
          <t xml:space="preserve">Config.Season.FriendsBonus</t>
        </is>
      </c>
    </row>
    <row r="22">
      <c r="A22" s="2" t="inlineStr">
        <is>
          <t xml:space="preserve">Precios</t>
        </is>
      </c>
      <c r="B22" s="2" t="inlineStr">
        <is>
          <t xml:space="preserve">premium 399 · pack +10 niveles 799 · nivel 79 R$</t>
        </is>
      </c>
      <c r="C22" s="2" t="inlineStr">
        <is>
          <t xml:space="preserve">Config.Shop.Products</t>
        </is>
      </c>
    </row>
    <row r="23">
      <c r="A23" s="2" t="inlineStr">
        <is>
          <t xml:space="preserve">Medido (calculadora)</t>
        </is>
      </c>
      <c r="B23" s="2" t="inlineStr">
        <is>
          <t xml:space="preserve">habitual termina el día 23; casual nivel 13; intenso día 13; amigos día 20</t>
        </is>
      </c>
      <c r="C23" s="2" t="inlineStr">
        <is>
          <t xml:space="preserve">src/island/tools/Economia.luau</t>
        </is>
      </c>
    </row>
    <row r="24"/>
    <row r="25">
      <c r="A25" s="20" t="inlineStr">
        <is>
          <t xml:space="preserve">3. TEMPORADA 1: EL DESPERTAR DEL VOLCÁN</t>
        </is>
      </c>
    </row>
    <row r="26">
      <c r="A26" s="5" t="inlineStr">
        <is>
          <t xml:space="preserve">Nivel</t>
        </is>
      </c>
      <c r="B26" s="5" t="inlineStr">
        <is>
          <t xml:space="preserve">Gratis (ganado jugando)</t>
        </is>
      </c>
      <c r="C26" s="5" t="inlineStr">
        <is>
          <t xml:space="preserve">Premium (solo cosmético)</t>
        </is>
      </c>
    </row>
    <row r="27">
      <c r="A27" s="2" t="inlineStr">
        <is>
          <t xml:space="preserve">1</t>
        </is>
      </c>
      <c r="B27" s="2" t="inlineStr">
        <is>
          <t xml:space="preserve">Título: Náufrago del Volcán</t>
        </is>
      </c>
      <c r="C27" s="2" t="inlineStr">
        <is>
          <t xml:space="preserve">Aura: Llama primal I</t>
        </is>
      </c>
    </row>
    <row r="28">
      <c r="A28" s="2" t="inlineStr">
        <is>
          <t xml:space="preserve">2</t>
        </is>
      </c>
      <c r="B28" s="2" t="inlineStr">
        <is>
          <t xml:space="preserve">75 Ámbar</t>
        </is>
      </c>
      <c r="C28" s="2" t="inlineStr">
        <is>
          <t xml:space="preserve">Emote: Grito de gorila</t>
        </is>
      </c>
    </row>
    <row r="29">
      <c r="A29" s="2" t="inlineStr">
        <is>
          <t xml:space="preserve">3</t>
        </is>
      </c>
      <c r="B29" s="2" t="inlineStr">
        <is>
          <t xml:space="preserve">5 bananos + 2 vendas</t>
        </is>
      </c>
      <c r="C29" s="2" t="inlineStr">
        <is>
          <t xml:space="preserve">Arma: Maza de Azufre</t>
        </is>
      </c>
    </row>
    <row r="30">
      <c r="A30" s="2" t="inlineStr">
        <is>
          <t xml:space="preserve">4</t>
        </is>
      </c>
      <c r="B30" s="2" t="inlineStr">
        <is>
          <t xml:space="preserve">−30 min de huevo + Marco de bronce</t>
        </is>
      </c>
      <c r="C30" s="2" t="inlineStr">
        <is>
          <t xml:space="preserve">Título: Hijo del Volcán</t>
        </is>
      </c>
    </row>
    <row r="31">
      <c r="A31" s="2" t="inlineStr">
        <is>
          <t xml:space="preserve">5</t>
        </is>
      </c>
      <c r="B31" s="2" t="inlineStr">
        <is>
          <t xml:space="preserve">100 Ámbar</t>
        </is>
      </c>
      <c r="C31" s="2" t="inlineStr">
        <is>
          <t xml:space="preserve">Traje: Guardián del Fuego Azul</t>
        </is>
      </c>
    </row>
    <row r="32">
      <c r="A32" s="2" t="inlineStr">
        <is>
          <t xml:space="preserve">6</t>
        </is>
      </c>
      <c r="B32" s="2" t="inlineStr">
        <is>
          <t xml:space="preserve">1 antorcha + 1 antídoto + Emote: Saludo simio</t>
        </is>
      </c>
      <c r="C32" s="2" t="inlineStr">
        <is>
          <t xml:space="preserve">Números: Magma</t>
        </is>
      </c>
    </row>
    <row r="33">
      <c r="A33" s="2" t="inlineStr">
        <is>
          <t xml:space="preserve">7</t>
        </is>
      </c>
      <c r="B33" s="2" t="inlineStr">
        <is>
          <t xml:space="preserve">−30 min de huevo</t>
        </is>
      </c>
      <c r="C33" s="2" t="inlineStr">
        <is>
          <t xml:space="preserve">Arma: Arco de Azufre</t>
        </is>
      </c>
    </row>
    <row r="34">
      <c r="A34" s="2" t="inlineStr">
        <is>
          <t xml:space="preserve">8</t>
        </is>
      </c>
      <c r="B34" s="2" t="inlineStr">
        <is>
          <t xml:space="preserve">100 Ámbar + Arma: Machete de Azufre</t>
        </is>
      </c>
      <c r="C34" s="2" t="inlineStr">
        <is>
          <t xml:space="preserve">Estallido: Erupción</t>
        </is>
      </c>
    </row>
    <row r="35">
      <c r="A35" s="2" t="inlineStr">
        <is>
          <t xml:space="preserve">9</t>
        </is>
      </c>
      <c r="B35" s="2" t="inlineStr">
        <is>
          <t xml:space="preserve">1 super venda</t>
        </is>
      </c>
      <c r="C35" s="2" t="inlineStr">
        <is>
          <t xml:space="preserve">Emote: Danza del fuego</t>
        </is>
      </c>
    </row>
    <row r="36">
      <c r="A36" s="2" t="inlineStr">
        <is>
          <t xml:space="preserve">10</t>
        </is>
      </c>
      <c r="B36" s="2" t="inlineStr">
        <is>
          <t xml:space="preserve">150 Ámbar</t>
        </is>
      </c>
      <c r="C36" s="2" t="inlineStr">
        <is>
          <t xml:space="preserve">Traje: Acechador del Fuego Azul</t>
        </is>
      </c>
    </row>
    <row r="37">
      <c r="A37" s="2" t="inlineStr">
        <is>
          <t xml:space="preserve">11</t>
        </is>
      </c>
      <c r="B37" s="2" t="inlineStr">
        <is>
          <t xml:space="preserve">−45 min de huevo</t>
        </is>
      </c>
      <c r="C37" s="2" t="inlineStr">
        <is>
          <t xml:space="preserve">Estela: Pisada de magma</t>
        </is>
      </c>
    </row>
    <row r="38">
      <c r="A38" s="2" t="inlineStr">
        <is>
          <t xml:space="preserve">12</t>
        </is>
      </c>
      <c r="B38" s="2" t="inlineStr">
        <is>
          <t xml:space="preserve">3 vendas + Skin: Tortuga de Lava</t>
        </is>
      </c>
      <c r="C38" s="2" t="inlineStr">
        <is>
          <t xml:space="preserve">Nido: Volcánico</t>
        </is>
      </c>
    </row>
    <row r="39">
      <c r="A39" s="2" t="inlineStr">
        <is>
          <t xml:space="preserve">13</t>
        </is>
      </c>
      <c r="B39" s="2" t="inlineStr">
        <is>
          <t xml:space="preserve">100 Ámbar</t>
        </is>
      </c>
      <c r="C39" s="2" t="inlineStr">
        <is>
          <t xml:space="preserve">Arma: Bastón de Azufre</t>
        </is>
      </c>
    </row>
    <row r="40">
      <c r="A40" s="2" t="inlineStr">
        <is>
          <t xml:space="preserve">14</t>
        </is>
      </c>
      <c r="B40" s="2" t="inlineStr">
        <is>
          <t xml:space="preserve">−45 min de huevo</t>
        </is>
      </c>
      <c r="C40" s="2" t="inlineStr">
        <is>
          <t xml:space="preserve">Números: Fuego azul</t>
        </is>
      </c>
    </row>
    <row r="41">
      <c r="A41" s="2" t="inlineStr">
        <is>
          <t xml:space="preserve">15</t>
        </is>
      </c>
      <c r="B41" s="2" t="inlineStr">
        <is>
          <t xml:space="preserve">Estela de ceniza</t>
        </is>
      </c>
      <c r="C41" s="2" t="inlineStr">
        <is>
          <t xml:space="preserve">Aura: Llama primal II</t>
        </is>
      </c>
    </row>
    <row r="42">
      <c r="A42" s="2" t="inlineStr">
        <is>
          <t xml:space="preserve">16</t>
        </is>
      </c>
      <c r="B42" s="2" t="inlineStr">
        <is>
          <t xml:space="preserve">125 Ámbar</t>
        </is>
      </c>
      <c r="C42" s="2" t="inlineStr">
        <is>
          <t xml:space="preserve">Estela de fuego azul</t>
        </is>
      </c>
    </row>
    <row r="43">
      <c r="A43" s="2" t="inlineStr">
        <is>
          <t xml:space="preserve">17</t>
        </is>
      </c>
      <c r="B43" s="2" t="inlineStr">
        <is>
          <t xml:space="preserve">1 kit de reanimación</t>
        </is>
      </c>
      <c r="C43" s="2" t="inlineStr">
        <is>
          <t xml:space="preserve">Emote: Erupción</t>
        </is>
      </c>
    </row>
    <row r="44">
      <c r="A44" s="2" t="inlineStr">
        <is>
          <t xml:space="preserve">18</t>
        </is>
      </c>
      <c r="B44" s="2" t="inlineStr">
        <is>
          <t xml:space="preserve">−60 min de huevo</t>
        </is>
      </c>
      <c r="C44" s="2" t="inlineStr">
        <is>
          <t xml:space="preserve">Arma: Cerbatana de Azufre</t>
        </is>
      </c>
    </row>
    <row r="45">
      <c r="A45" s="2" t="inlineStr">
        <is>
          <t xml:space="preserve">19</t>
        </is>
      </c>
      <c r="B45" s="2" t="inlineStr">
        <is>
          <t xml:space="preserve">125 Ámbar</t>
        </is>
      </c>
      <c r="C45" s="2" t="inlineStr">
        <is>
          <t xml:space="preserve">Título: Caminante de Ceniza</t>
        </is>
      </c>
    </row>
    <row r="46">
      <c r="A46" s="2" t="inlineStr">
        <is>
          <t xml:space="preserve">20</t>
        </is>
      </c>
      <c r="B46" s="2" t="inlineStr">
        <is>
          <t xml:space="preserve">huevo Raro</t>
        </is>
      </c>
      <c r="C46" s="2" t="inlineStr">
        <is>
          <t xml:space="preserve">Traje: Invocador del Fuego Azul</t>
        </is>
      </c>
    </row>
    <row r="47">
      <c r="A47" s="2" t="inlineStr">
        <is>
          <t xml:space="preserve">21</t>
        </is>
      </c>
      <c r="B47" s="2" t="inlineStr">
        <is>
          <t xml:space="preserve">2 antídotos + 1 super venda</t>
        </is>
      </c>
      <c r="C47" s="2" t="inlineStr">
        <is>
          <t xml:space="preserve">Marco de fuego azul</t>
        </is>
      </c>
    </row>
    <row r="48">
      <c r="A48" s="2" t="inlineStr">
        <is>
          <t xml:space="preserve">22</t>
        </is>
      </c>
      <c r="B48" s="2" t="inlineStr">
        <is>
          <t xml:space="preserve">150 Ámbar + Marco de plata</t>
        </is>
      </c>
      <c r="C48" s="2" t="inlineStr">
        <is>
          <t xml:space="preserve">Estallido: Fuego azul</t>
        </is>
      </c>
    </row>
    <row r="49">
      <c r="A49" s="2" t="inlineStr">
        <is>
          <t xml:space="preserve">23</t>
        </is>
      </c>
      <c r="B49" s="2" t="inlineStr">
        <is>
          <t xml:space="preserve">−60 min de huevo</t>
        </is>
      </c>
      <c r="C49" s="2" t="inlineStr">
        <is>
          <t xml:space="preserve">Skin: Jaguar de Magma</t>
        </is>
      </c>
    </row>
    <row r="50">
      <c r="A50" s="2" t="inlineStr">
        <is>
          <t xml:space="preserve">24</t>
        </is>
      </c>
      <c r="B50" s="2" t="inlineStr">
        <is>
          <t xml:space="preserve">2 antorchas + 5 bananos</t>
        </is>
      </c>
      <c r="C50" s="2" t="inlineStr">
        <is>
          <t xml:space="preserve">Título: Domador del Magma</t>
        </is>
      </c>
    </row>
    <row r="51">
      <c r="A51" s="2" t="inlineStr">
        <is>
          <t xml:space="preserve">25</t>
        </is>
      </c>
      <c r="B51" s="2" t="inlineStr">
        <is>
          <t xml:space="preserve">200 Ámbar</t>
        </is>
      </c>
      <c r="C51" s="2" t="inlineStr">
        <is>
          <t xml:space="preserve">Traje: Sanador del Fuego Azul</t>
        </is>
      </c>
    </row>
    <row r="52">
      <c r="A52" s="2" t="inlineStr">
        <is>
          <t xml:space="preserve">26</t>
        </is>
      </c>
      <c r="B52" s="2" t="inlineStr">
        <is>
          <t xml:space="preserve">−60 min de huevo</t>
        </is>
      </c>
      <c r="C52" s="2" t="inlineStr">
        <is>
          <t xml:space="preserve">Título: Guardián de la Llama Azul</t>
        </is>
      </c>
    </row>
    <row r="53">
      <c r="A53" s="2" t="inlineStr">
        <is>
          <t xml:space="preserve">27</t>
        </is>
      </c>
      <c r="B53" s="2" t="inlineStr">
        <is>
          <t xml:space="preserve">1 kit de reanimación + 2 super vendas</t>
        </is>
      </c>
      <c r="C53" s="2" t="inlineStr">
        <is>
          <t xml:space="preserve">Marco: Obsidiana fundida</t>
        </is>
      </c>
    </row>
    <row r="54">
      <c r="A54" s="2" t="inlineStr">
        <is>
          <t xml:space="preserve">28</t>
        </is>
      </c>
      <c r="B54" s="2" t="inlineStr">
        <is>
          <t xml:space="preserve">200 Ámbar</t>
        </is>
      </c>
      <c r="C54" s="2" t="inlineStr">
        <is>
          <t xml:space="preserve">Nido: Cráter de azufre</t>
        </is>
      </c>
    </row>
    <row r="55">
      <c r="A55" s="2" t="inlineStr">
        <is>
          <t xml:space="preserve">29</t>
        </is>
      </c>
      <c r="B55" s="2" t="inlineStr">
        <is>
          <t xml:space="preserve">−90 min de huevo</t>
        </is>
      </c>
      <c r="C55" s="2" t="inlineStr">
        <is>
          <t xml:space="preserve">Título: Rey de la Isla Primal</t>
        </is>
      </c>
    </row>
    <row r="56">
      <c r="A56" s="2" t="inlineStr">
        <is>
          <t xml:space="preserve">30</t>
        </is>
      </c>
      <c r="B56" s="2" t="inlineStr">
        <is>
          <t xml:space="preserve">300 Ámbar + Título: Señor del Volcán</t>
        </is>
      </c>
      <c r="C56" s="2" t="inlineStr">
        <is>
          <t xml:space="preserve">Aura: Llama primal III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2" baseType="lpstr">
      <vt:lpstr>Modelo Recompensas 30 Días</vt:lpstr>
      <vt:lpstr>Correcciones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campuzano</cp:lastModifiedBy>
  <dcterms:created xsi:type="dcterms:W3CDTF">2026-10-20T20:41:34Z</dcterms:created>
  <dcterms:modified xsi:type="dcterms:W3CDTF">2026-10-20T22:31:18Z</dcterms:modified>
</cp:coreProperties>
</file>